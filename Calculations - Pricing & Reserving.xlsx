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sk\Documents\Actuary\git\actuarial\"/>
    </mc:Choice>
  </mc:AlternateContent>
  <xr:revisionPtr revIDLastSave="0" documentId="13_ncr:1_{8F77FAB1-7881-45BC-8D43-5F54F96DC086}" xr6:coauthVersionLast="47" xr6:coauthVersionMax="47" xr10:uidLastSave="{00000000-0000-0000-0000-000000000000}"/>
  <bookViews>
    <workbookView xWindow="-110" yWindow="-110" windowWidth="19420" windowHeight="11020" activeTab="1" xr2:uid="{A5013215-333A-475B-979F-C361465ACAF8}"/>
  </bookViews>
  <sheets>
    <sheet name="Development Technique" sheetId="1" r:id="rId1"/>
    <sheet name="Expected Metho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G36" i="2"/>
  <c r="K32" i="2"/>
  <c r="F32" i="2"/>
  <c r="F33" i="2"/>
  <c r="F34" i="2"/>
  <c r="F35" i="2"/>
  <c r="F31" i="2"/>
  <c r="L6" i="2"/>
  <c r="L7" i="2"/>
  <c r="L8" i="2"/>
  <c r="L9" i="2"/>
  <c r="L10" i="2"/>
  <c r="L5" i="2"/>
  <c r="E32" i="2"/>
  <c r="E33" i="2"/>
  <c r="E34" i="2"/>
  <c r="E35" i="2"/>
  <c r="E36" i="2"/>
  <c r="E37" i="2"/>
  <c r="E31" i="2"/>
  <c r="D37" i="2"/>
  <c r="D36" i="2"/>
  <c r="D35" i="2"/>
  <c r="D34" i="2"/>
  <c r="D33" i="2"/>
  <c r="D32" i="2"/>
  <c r="C37" i="2"/>
  <c r="C36" i="2"/>
  <c r="C35" i="2"/>
  <c r="C34" i="2"/>
  <c r="C33" i="2"/>
  <c r="C32" i="2"/>
  <c r="C31" i="2"/>
  <c r="E23" i="2"/>
  <c r="D23" i="2"/>
  <c r="C23" i="2"/>
  <c r="I20" i="2"/>
  <c r="H20" i="2"/>
  <c r="G20" i="2"/>
  <c r="F20" i="2"/>
  <c r="E20" i="2"/>
  <c r="D20" i="2"/>
  <c r="I19" i="2"/>
  <c r="H19" i="2"/>
  <c r="G19" i="2"/>
  <c r="F19" i="2"/>
  <c r="E19" i="2"/>
  <c r="C19" i="2"/>
  <c r="I18" i="2"/>
  <c r="H18" i="2"/>
  <c r="G18" i="2"/>
  <c r="F18" i="2"/>
  <c r="D18" i="2"/>
  <c r="C18" i="2"/>
  <c r="I17" i="2"/>
  <c r="H17" i="2"/>
  <c r="G17" i="2"/>
  <c r="E17" i="2"/>
  <c r="D17" i="2"/>
  <c r="C17" i="2"/>
  <c r="I16" i="2"/>
  <c r="H16" i="2"/>
  <c r="F16" i="2"/>
  <c r="E16" i="2"/>
  <c r="D16" i="2"/>
  <c r="C16" i="2"/>
  <c r="I15" i="2"/>
  <c r="G15" i="2"/>
  <c r="F15" i="2"/>
  <c r="E15" i="2"/>
  <c r="D15" i="2"/>
  <c r="C15" i="2"/>
  <c r="C36" i="1"/>
  <c r="C35" i="1"/>
  <c r="C34" i="1"/>
  <c r="C33" i="1"/>
  <c r="C32" i="1"/>
  <c r="C31" i="1"/>
  <c r="C30" i="1"/>
  <c r="F27" i="1"/>
  <c r="E27" i="1" s="1"/>
  <c r="D27" i="1" s="1"/>
  <c r="C27" i="1" s="1"/>
  <c r="G27" i="1"/>
  <c r="H27" i="1"/>
  <c r="D25" i="1"/>
  <c r="E25" i="1"/>
  <c r="F25" i="1"/>
  <c r="G25" i="1"/>
  <c r="H25" i="1"/>
  <c r="C25" i="1"/>
  <c r="H23" i="1"/>
  <c r="G23" i="1"/>
  <c r="F23" i="1"/>
  <c r="E23" i="1"/>
  <c r="D23" i="1"/>
  <c r="H22" i="1"/>
  <c r="G22" i="1"/>
  <c r="F22" i="1"/>
  <c r="E22" i="1"/>
  <c r="D22" i="1"/>
  <c r="C23" i="1"/>
  <c r="C22" i="1"/>
  <c r="C15" i="1"/>
  <c r="D15" i="1"/>
  <c r="E15" i="1"/>
  <c r="F15" i="1"/>
  <c r="G15" i="1"/>
  <c r="I15" i="1"/>
  <c r="C16" i="1"/>
  <c r="D16" i="1"/>
  <c r="E16" i="1"/>
  <c r="F16" i="1"/>
  <c r="H16" i="1"/>
  <c r="I16" i="1"/>
  <c r="C17" i="1"/>
  <c r="D17" i="1"/>
  <c r="E17" i="1"/>
  <c r="G17" i="1"/>
  <c r="H17" i="1"/>
  <c r="I17" i="1"/>
  <c r="C18" i="1"/>
  <c r="D18" i="1"/>
  <c r="F18" i="1"/>
  <c r="G18" i="1"/>
  <c r="H18" i="1"/>
  <c r="I18" i="1"/>
  <c r="C19" i="1"/>
  <c r="E19" i="1"/>
  <c r="F19" i="1"/>
  <c r="G19" i="1"/>
  <c r="H19" i="1"/>
  <c r="I19" i="1"/>
  <c r="D20" i="1"/>
  <c r="E20" i="1"/>
  <c r="F20" i="1"/>
  <c r="G20" i="1"/>
  <c r="H20" i="1"/>
  <c r="I20" i="1"/>
  <c r="D14" i="1"/>
  <c r="E14" i="1"/>
  <c r="F14" i="1"/>
  <c r="G14" i="1"/>
  <c r="H14" i="1"/>
  <c r="C14" i="1"/>
  <c r="E4" i="1"/>
  <c r="F4" i="1"/>
  <c r="G4" i="1" s="1"/>
  <c r="H4" i="1" s="1"/>
  <c r="I4" i="1" s="1"/>
  <c r="D4" i="1"/>
  <c r="C4" i="1"/>
  <c r="C22" i="2" l="1"/>
  <c r="C25" i="2" s="1"/>
  <c r="D22" i="2"/>
  <c r="D25" i="2" s="1"/>
  <c r="E22" i="2"/>
  <c r="E25" i="2" s="1"/>
  <c r="C14" i="2"/>
  <c r="D14" i="2" l="1"/>
  <c r="E14" i="2" l="1"/>
  <c r="F23" i="2" l="1"/>
  <c r="F14" i="2"/>
  <c r="F22" i="2" s="1"/>
  <c r="F25" i="2" s="1"/>
  <c r="G23" i="2" l="1"/>
  <c r="G14" i="2"/>
  <c r="G22" i="2" s="1"/>
  <c r="G25" i="2" s="1"/>
  <c r="H23" i="2"/>
  <c r="H14" i="2" l="1"/>
  <c r="H22" i="2" s="1"/>
  <c r="H25" i="2" s="1"/>
  <c r="H27" i="2" s="1"/>
  <c r="G27" i="2" l="1"/>
  <c r="F27" i="2" l="1"/>
  <c r="E27" i="2"/>
  <c r="D27" i="2" l="1"/>
  <c r="C27" i="2" l="1"/>
</calcChain>
</file>

<file path=xl/sharedStrings.xml><?xml version="1.0" encoding="utf-8"?>
<sst xmlns="http://schemas.openxmlformats.org/spreadsheetml/2006/main" count="74" uniqueCount="36">
  <si>
    <t>LOB</t>
  </si>
  <si>
    <t>AGE</t>
  </si>
  <si>
    <t>Accident Year</t>
  </si>
  <si>
    <t>Claim Size (000's)</t>
  </si>
  <si>
    <t>H3</t>
  </si>
  <si>
    <t>AY</t>
  </si>
  <si>
    <t>Cumulative Reported Claims ($000s)</t>
  </si>
  <si>
    <t>Age-to-Age Factors</t>
  </si>
  <si>
    <t>84-Ult</t>
  </si>
  <si>
    <t>3-Yr Simple</t>
  </si>
  <si>
    <t>3-Yr Weighted</t>
  </si>
  <si>
    <t>Selected LDF</t>
  </si>
  <si>
    <t>CDF</t>
  </si>
  <si>
    <t>12-Ult</t>
  </si>
  <si>
    <t>24-Ult</t>
  </si>
  <si>
    <t>36-Ult</t>
  </si>
  <si>
    <t>48-Ult</t>
  </si>
  <si>
    <t>60-Ult</t>
  </si>
  <si>
    <t>72-Ult</t>
  </si>
  <si>
    <t>Ult Losses</t>
  </si>
  <si>
    <t>CY OLEP</t>
  </si>
  <si>
    <t>Reported</t>
  </si>
  <si>
    <t>Claims</t>
  </si>
  <si>
    <t>Reprt Dev</t>
  </si>
  <si>
    <t>Ult Claims</t>
  </si>
  <si>
    <t>Trended Ult</t>
  </si>
  <si>
    <t>Loss Ratio</t>
  </si>
  <si>
    <t>Expected</t>
  </si>
  <si>
    <t>On Level Earned Premium % change</t>
  </si>
  <si>
    <t>* There are no historical rate changes</t>
  </si>
  <si>
    <t>Loss Trend</t>
  </si>
  <si>
    <t>Premium Trend</t>
  </si>
  <si>
    <t>ELR (2020 Level)</t>
  </si>
  <si>
    <t>ELR (2019 Level)</t>
  </si>
  <si>
    <t>Expected Loss Ratio</t>
  </si>
  <si>
    <t>Expected method yields a higher ultimate claims amount than the development technique as it accounts for the premium increase in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</si>
</sst>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8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5" xfId="0" applyBorder="1"/>
    <xf numFmtId="0" fontId="2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8" xfId="0" applyBorder="1"/>
    <xf numFmtId="0" fontId="0" fillId="0" borderId="11" xfId="0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2" xfId="0" applyNumberFormat="1" applyBorder="1"/>
    <xf numFmtId="0" fontId="0" fillId="0" borderId="6" xfId="0" applyBorder="1"/>
    <xf numFmtId="166" fontId="0" fillId="0" borderId="3" xfId="0" applyNumberFormat="1" applyBorder="1"/>
    <xf numFmtId="0" fontId="3" fillId="0" borderId="0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6" fontId="0" fillId="0" borderId="0" xfId="0" applyNumberFormat="1" applyBorder="1"/>
    <xf numFmtId="1" fontId="0" fillId="0" borderId="0" xfId="0" applyNumberFormat="1" applyBorder="1"/>
    <xf numFmtId="168" fontId="0" fillId="0" borderId="0" xfId="1" applyNumberFormat="1" applyFont="1"/>
    <xf numFmtId="168" fontId="0" fillId="0" borderId="2" xfId="1" applyNumberFormat="1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12" xfId="0" applyBorder="1" applyAlignment="1">
      <alignment horizontal="centerContinuous"/>
    </xf>
    <xf numFmtId="168" fontId="0" fillId="0" borderId="4" xfId="1" applyNumberFormat="1" applyFont="1" applyBorder="1" applyAlignment="1">
      <alignment horizontal="center"/>
    </xf>
    <xf numFmtId="0" fontId="0" fillId="0" borderId="3" xfId="0" applyBorder="1" applyAlignment="1">
      <alignment horizontal="centerContinuous"/>
    </xf>
    <xf numFmtId="168" fontId="0" fillId="0" borderId="10" xfId="1" applyNumberFormat="1" applyFont="1" applyBorder="1"/>
    <xf numFmtId="168" fontId="0" fillId="0" borderId="6" xfId="0" applyNumberFormat="1" applyBorder="1"/>
    <xf numFmtId="0" fontId="2" fillId="0" borderId="5" xfId="0" applyFont="1" applyFill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2" fillId="0" borderId="0" xfId="0" applyFont="1" applyBorder="1" applyAlignment="1">
      <alignment horizontal="center"/>
    </xf>
    <xf numFmtId="168" fontId="0" fillId="0" borderId="0" xfId="1" applyNumberFormat="1" applyFont="1" applyBorder="1"/>
    <xf numFmtId="9" fontId="0" fillId="0" borderId="0" xfId="1" applyFont="1" applyBorder="1"/>
    <xf numFmtId="9" fontId="0" fillId="0" borderId="3" xfId="1" applyFont="1" applyBorder="1"/>
    <xf numFmtId="1" fontId="0" fillId="2" borderId="0" xfId="0" applyNumberFormat="1" applyFill="1" applyBorder="1"/>
    <xf numFmtId="1" fontId="0" fillId="2" borderId="3" xfId="0" applyNumberFormat="1" applyFill="1" applyBorder="1"/>
    <xf numFmtId="1" fontId="0" fillId="2" borderId="8" xfId="0" applyNumberFormat="1" applyFill="1" applyBorder="1"/>
    <xf numFmtId="1" fontId="0" fillId="2" borderId="10" xfId="0" applyNumberFormat="1" applyFill="1" applyBorder="1"/>
    <xf numFmtId="0" fontId="0" fillId="0" borderId="0" xfId="0" applyAlignment="1">
      <alignment horizontal="centerContinuous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3D18-FBAD-407D-96B3-7116D54F4EBE}">
  <dimension ref="B1:Q36"/>
  <sheetViews>
    <sheetView workbookViewId="0">
      <selection activeCell="K27" sqref="K27"/>
    </sheetView>
  </sheetViews>
  <sheetFormatPr defaultRowHeight="14.5" x14ac:dyDescent="0.35"/>
  <cols>
    <col min="1" max="1" width="12.08984375" bestFit="1" customWidth="1"/>
    <col min="2" max="2" width="12.6328125" bestFit="1" customWidth="1"/>
    <col min="16" max="16" width="12.08984375" bestFit="1" customWidth="1"/>
    <col min="17" max="17" width="15.1796875" bestFit="1" customWidth="1"/>
  </cols>
  <sheetData>
    <row r="1" spans="2:17" ht="15" thickBot="1" x14ac:dyDescent="0.4"/>
    <row r="2" spans="2:17" ht="15" thickBot="1" x14ac:dyDescent="0.4">
      <c r="B2" s="5"/>
      <c r="C2" s="6" t="s">
        <v>6</v>
      </c>
      <c r="D2" s="7"/>
      <c r="E2" s="7"/>
      <c r="F2" s="7"/>
      <c r="G2" s="7"/>
      <c r="H2" s="7"/>
      <c r="I2" s="8"/>
      <c r="N2" s="4" t="s">
        <v>0</v>
      </c>
      <c r="O2" s="4" t="s">
        <v>1</v>
      </c>
      <c r="P2" s="4" t="s">
        <v>2</v>
      </c>
      <c r="Q2" s="4" t="s">
        <v>3</v>
      </c>
    </row>
    <row r="3" spans="2:17" ht="15" thickBot="1" x14ac:dyDescent="0.4">
      <c r="B3" s="21" t="s">
        <v>5</v>
      </c>
      <c r="C3" s="11">
        <v>12</v>
      </c>
      <c r="D3" s="11">
        <v>24</v>
      </c>
      <c r="E3" s="11">
        <v>36</v>
      </c>
      <c r="F3" s="11">
        <v>48</v>
      </c>
      <c r="G3" s="11">
        <v>60</v>
      </c>
      <c r="H3" s="11">
        <v>72</v>
      </c>
      <c r="I3" s="12">
        <v>84</v>
      </c>
      <c r="N3" s="2" t="s">
        <v>4</v>
      </c>
      <c r="O3" s="2">
        <v>12</v>
      </c>
      <c r="P3" s="2">
        <v>2014</v>
      </c>
      <c r="Q3" s="2">
        <v>64</v>
      </c>
    </row>
    <row r="4" spans="2:17" x14ac:dyDescent="0.35">
      <c r="B4" s="13">
        <v>2014</v>
      </c>
      <c r="C4" s="14">
        <f>SUMIFS($Q$3:$Q$21, $O$3:$O$21, C$3, $P$3:$P$21, $B4)</f>
        <v>382</v>
      </c>
      <c r="D4" s="14">
        <f>C4+SUMIFS($Q$3:$Q$21, $O$3:$O$21, D$3, $P$3:$P$21, $B4)</f>
        <v>730</v>
      </c>
      <c r="E4" s="14">
        <f t="shared" ref="E4:I4" si="0">D4+SUMIFS($Q$3:$Q$21, $O$3:$O$21, E$3, $P$3:$P$21, $B4)</f>
        <v>890</v>
      </c>
      <c r="F4" s="14">
        <f t="shared" si="0"/>
        <v>920</v>
      </c>
      <c r="G4" s="14">
        <f t="shared" si="0"/>
        <v>929</v>
      </c>
      <c r="H4" s="14">
        <f t="shared" si="0"/>
        <v>930</v>
      </c>
      <c r="I4" s="15">
        <f t="shared" si="0"/>
        <v>930</v>
      </c>
      <c r="N4" s="1" t="s">
        <v>4</v>
      </c>
      <c r="O4" s="1">
        <v>12</v>
      </c>
      <c r="P4" s="1">
        <v>2014</v>
      </c>
      <c r="Q4" s="1">
        <v>53</v>
      </c>
    </row>
    <row r="5" spans="2:17" x14ac:dyDescent="0.35">
      <c r="B5" s="16">
        <v>2015</v>
      </c>
      <c r="C5" s="14">
        <v>375</v>
      </c>
      <c r="D5" s="14">
        <v>745</v>
      </c>
      <c r="E5" s="14">
        <v>906</v>
      </c>
      <c r="F5" s="14">
        <v>916</v>
      </c>
      <c r="G5" s="14">
        <v>930</v>
      </c>
      <c r="H5" s="14">
        <v>933</v>
      </c>
      <c r="I5" s="15"/>
      <c r="N5" s="1" t="s">
        <v>4</v>
      </c>
      <c r="O5" s="1">
        <v>12</v>
      </c>
      <c r="P5" s="1">
        <v>2014</v>
      </c>
      <c r="Q5" s="1">
        <v>23</v>
      </c>
    </row>
    <row r="6" spans="2:17" x14ac:dyDescent="0.35">
      <c r="B6" s="16">
        <v>2016</v>
      </c>
      <c r="C6" s="14">
        <v>385</v>
      </c>
      <c r="D6" s="14">
        <v>755</v>
      </c>
      <c r="E6" s="14">
        <v>911</v>
      </c>
      <c r="F6" s="14">
        <v>924</v>
      </c>
      <c r="G6" s="14">
        <v>929</v>
      </c>
      <c r="H6" s="14"/>
      <c r="I6" s="15"/>
      <c r="N6" s="1" t="s">
        <v>4</v>
      </c>
      <c r="O6" s="1">
        <v>12</v>
      </c>
      <c r="P6" s="1">
        <v>2014</v>
      </c>
      <c r="Q6" s="1">
        <v>110</v>
      </c>
    </row>
    <row r="7" spans="2:17" ht="15" thickBot="1" x14ac:dyDescent="0.4">
      <c r="B7" s="16">
        <v>2017</v>
      </c>
      <c r="C7" s="14">
        <v>399</v>
      </c>
      <c r="D7" s="14">
        <v>760</v>
      </c>
      <c r="E7" s="14">
        <v>931</v>
      </c>
      <c r="F7" s="14">
        <v>940</v>
      </c>
      <c r="G7" s="14"/>
      <c r="H7" s="14"/>
      <c r="I7" s="15"/>
      <c r="N7" s="3" t="s">
        <v>4</v>
      </c>
      <c r="O7" s="3">
        <v>12</v>
      </c>
      <c r="P7" s="3">
        <v>2014</v>
      </c>
      <c r="Q7" s="3">
        <v>132</v>
      </c>
    </row>
    <row r="8" spans="2:17" x14ac:dyDescent="0.35">
      <c r="B8" s="16">
        <v>2018</v>
      </c>
      <c r="C8" s="14">
        <v>397</v>
      </c>
      <c r="D8" s="14">
        <v>750</v>
      </c>
      <c r="E8" s="14">
        <v>922</v>
      </c>
      <c r="F8" s="14"/>
      <c r="G8" s="14"/>
      <c r="H8" s="14"/>
      <c r="I8" s="15"/>
      <c r="N8" t="s">
        <v>4</v>
      </c>
      <c r="O8">
        <v>24</v>
      </c>
      <c r="P8">
        <v>2014</v>
      </c>
      <c r="Q8">
        <v>34</v>
      </c>
    </row>
    <row r="9" spans="2:17" x14ac:dyDescent="0.35">
      <c r="B9" s="16">
        <v>2019</v>
      </c>
      <c r="C9" s="14">
        <v>422</v>
      </c>
      <c r="D9" s="14">
        <v>762</v>
      </c>
      <c r="E9" s="14"/>
      <c r="F9" s="14"/>
      <c r="G9" s="14"/>
      <c r="H9" s="14"/>
      <c r="I9" s="15"/>
      <c r="N9" t="s">
        <v>4</v>
      </c>
      <c r="O9">
        <v>24</v>
      </c>
      <c r="P9">
        <v>2014</v>
      </c>
      <c r="Q9">
        <v>125</v>
      </c>
    </row>
    <row r="10" spans="2:17" ht="15" thickBot="1" x14ac:dyDescent="0.4">
      <c r="B10" s="17">
        <v>2020</v>
      </c>
      <c r="C10" s="18">
        <v>385</v>
      </c>
      <c r="D10" s="19"/>
      <c r="E10" s="19"/>
      <c r="F10" s="19"/>
      <c r="G10" s="19"/>
      <c r="H10" s="19"/>
      <c r="I10" s="20"/>
      <c r="N10" t="s">
        <v>4</v>
      </c>
      <c r="O10">
        <v>24</v>
      </c>
      <c r="P10">
        <v>2014</v>
      </c>
      <c r="Q10">
        <v>33</v>
      </c>
    </row>
    <row r="11" spans="2:17" x14ac:dyDescent="0.35">
      <c r="N11" t="s">
        <v>4</v>
      </c>
      <c r="O11">
        <v>24</v>
      </c>
      <c r="P11">
        <v>2014</v>
      </c>
      <c r="Q11">
        <v>57</v>
      </c>
    </row>
    <row r="12" spans="2:17" ht="15" thickBot="1" x14ac:dyDescent="0.4">
      <c r="C12" s="4" t="s">
        <v>7</v>
      </c>
      <c r="N12" t="s">
        <v>4</v>
      </c>
      <c r="O12">
        <v>24</v>
      </c>
      <c r="P12">
        <v>2014</v>
      </c>
      <c r="Q12">
        <v>99</v>
      </c>
    </row>
    <row r="13" spans="2:17" ht="15" thickBot="1" x14ac:dyDescent="0.4">
      <c r="B13" s="21" t="s">
        <v>5</v>
      </c>
      <c r="C13" s="11">
        <v>12</v>
      </c>
      <c r="D13" s="11">
        <v>24</v>
      </c>
      <c r="E13" s="11">
        <v>36</v>
      </c>
      <c r="F13" s="11">
        <v>48</v>
      </c>
      <c r="G13" s="11">
        <v>60</v>
      </c>
      <c r="H13" s="11">
        <v>72</v>
      </c>
      <c r="I13" s="12" t="s">
        <v>8</v>
      </c>
      <c r="N13" s="2" t="s">
        <v>4</v>
      </c>
      <c r="O13" s="2">
        <v>36</v>
      </c>
      <c r="P13" s="2">
        <v>2014</v>
      </c>
      <c r="Q13" s="2">
        <v>33</v>
      </c>
    </row>
    <row r="14" spans="2:17" x14ac:dyDescent="0.35">
      <c r="B14" s="13">
        <v>2014</v>
      </c>
      <c r="C14" s="24">
        <f>IFERROR(D4/C4, "")</f>
        <v>1.9109947643979057</v>
      </c>
      <c r="D14" s="25">
        <f t="shared" ref="D14:I14" si="1">IFERROR(E4/D4, "")</f>
        <v>1.2191780821917808</v>
      </c>
      <c r="E14" s="25">
        <f t="shared" si="1"/>
        <v>1.0337078651685394</v>
      </c>
      <c r="F14" s="25">
        <f t="shared" si="1"/>
        <v>1.0097826086956523</v>
      </c>
      <c r="G14" s="25">
        <f t="shared" si="1"/>
        <v>1.0010764262648009</v>
      </c>
      <c r="H14" s="25">
        <f t="shared" si="1"/>
        <v>1</v>
      </c>
      <c r="I14" s="26"/>
      <c r="N14" s="1" t="s">
        <v>4</v>
      </c>
      <c r="O14" s="1">
        <v>36</v>
      </c>
      <c r="P14" s="1">
        <v>2014</v>
      </c>
      <c r="Q14" s="1">
        <v>57</v>
      </c>
    </row>
    <row r="15" spans="2:17" ht="15" thickBot="1" x14ac:dyDescent="0.4">
      <c r="B15" s="16">
        <v>2015</v>
      </c>
      <c r="C15" s="27">
        <f t="shared" ref="C15:I15" si="2">IFERROR(D5/C5, "")</f>
        <v>1.9866666666666666</v>
      </c>
      <c r="D15" s="28">
        <f t="shared" si="2"/>
        <v>1.2161073825503357</v>
      </c>
      <c r="E15" s="28">
        <f t="shared" si="2"/>
        <v>1.011037527593819</v>
      </c>
      <c r="F15" s="28">
        <f t="shared" si="2"/>
        <v>1.0152838427947599</v>
      </c>
      <c r="G15" s="28">
        <f t="shared" si="2"/>
        <v>1.0032258064516129</v>
      </c>
      <c r="H15" s="28"/>
      <c r="I15" s="29" t="str">
        <f t="shared" si="2"/>
        <v/>
      </c>
      <c r="N15" s="3" t="s">
        <v>4</v>
      </c>
      <c r="O15" s="3">
        <v>36</v>
      </c>
      <c r="P15" s="3">
        <v>2014</v>
      </c>
      <c r="Q15" s="3">
        <v>70</v>
      </c>
    </row>
    <row r="16" spans="2:17" x14ac:dyDescent="0.35">
      <c r="B16" s="16">
        <v>2016</v>
      </c>
      <c r="C16" s="27">
        <f t="shared" ref="C16:I16" si="3">IFERROR(D6/C6, "")</f>
        <v>1.9610389610389611</v>
      </c>
      <c r="D16" s="28">
        <f t="shared" si="3"/>
        <v>1.2066225165562914</v>
      </c>
      <c r="E16" s="28">
        <f t="shared" si="3"/>
        <v>1.0142700329308452</v>
      </c>
      <c r="F16" s="28">
        <f t="shared" si="3"/>
        <v>1.0054112554112553</v>
      </c>
      <c r="G16" s="28"/>
      <c r="H16" s="28" t="str">
        <f t="shared" si="3"/>
        <v/>
      </c>
      <c r="I16" s="29" t="str">
        <f t="shared" si="3"/>
        <v/>
      </c>
      <c r="N16" t="s">
        <v>4</v>
      </c>
      <c r="O16">
        <v>48</v>
      </c>
      <c r="P16">
        <v>2014</v>
      </c>
      <c r="Q16">
        <v>12</v>
      </c>
    </row>
    <row r="17" spans="2:17" ht="15" thickBot="1" x14ac:dyDescent="0.4">
      <c r="B17" s="16">
        <v>2017</v>
      </c>
      <c r="C17" s="27">
        <f t="shared" ref="C17:I17" si="4">IFERROR(D7/C7, "")</f>
        <v>1.9047619047619047</v>
      </c>
      <c r="D17" s="28">
        <f t="shared" si="4"/>
        <v>1.2250000000000001</v>
      </c>
      <c r="E17" s="28">
        <f t="shared" si="4"/>
        <v>1.0096670247046187</v>
      </c>
      <c r="F17" s="28"/>
      <c r="G17" s="28" t="str">
        <f t="shared" si="4"/>
        <v/>
      </c>
      <c r="H17" s="28" t="str">
        <f t="shared" si="4"/>
        <v/>
      </c>
      <c r="I17" s="29" t="str">
        <f t="shared" si="4"/>
        <v/>
      </c>
      <c r="N17" t="s">
        <v>4</v>
      </c>
      <c r="O17">
        <v>48</v>
      </c>
      <c r="P17">
        <v>2014</v>
      </c>
      <c r="Q17">
        <v>18</v>
      </c>
    </row>
    <row r="18" spans="2:17" x14ac:dyDescent="0.35">
      <c r="B18" s="16">
        <v>2018</v>
      </c>
      <c r="C18" s="27">
        <f t="shared" ref="C18:I18" si="5">IFERROR(D8/C8, "")</f>
        <v>1.8891687657430731</v>
      </c>
      <c r="D18" s="28">
        <f t="shared" si="5"/>
        <v>1.2293333333333334</v>
      </c>
      <c r="E18" s="28"/>
      <c r="F18" s="28" t="str">
        <f t="shared" si="5"/>
        <v/>
      </c>
      <c r="G18" s="28" t="str">
        <f t="shared" si="5"/>
        <v/>
      </c>
      <c r="H18" s="28" t="str">
        <f t="shared" si="5"/>
        <v/>
      </c>
      <c r="I18" s="29" t="str">
        <f t="shared" si="5"/>
        <v/>
      </c>
      <c r="N18" s="2" t="s">
        <v>4</v>
      </c>
      <c r="O18" s="2">
        <v>60</v>
      </c>
      <c r="P18" s="2">
        <v>2014</v>
      </c>
      <c r="Q18" s="2">
        <v>3</v>
      </c>
    </row>
    <row r="19" spans="2:17" x14ac:dyDescent="0.35">
      <c r="B19" s="16">
        <v>2019</v>
      </c>
      <c r="C19" s="27">
        <f t="shared" ref="C19:I19" si="6">IFERROR(D9/C9, "")</f>
        <v>1.8056872037914693</v>
      </c>
      <c r="D19" s="28"/>
      <c r="E19" s="28" t="str">
        <f t="shared" si="6"/>
        <v/>
      </c>
      <c r="F19" s="28" t="str">
        <f t="shared" si="6"/>
        <v/>
      </c>
      <c r="G19" s="28" t="str">
        <f t="shared" si="6"/>
        <v/>
      </c>
      <c r="H19" s="28" t="str">
        <f t="shared" si="6"/>
        <v/>
      </c>
      <c r="I19" s="29" t="str">
        <f t="shared" si="6"/>
        <v/>
      </c>
      <c r="N19" s="1" t="s">
        <v>4</v>
      </c>
      <c r="O19" s="1">
        <v>60</v>
      </c>
      <c r="P19" s="1">
        <v>2014</v>
      </c>
      <c r="Q19" s="1">
        <v>2</v>
      </c>
    </row>
    <row r="20" spans="2:17" ht="15" thickBot="1" x14ac:dyDescent="0.4">
      <c r="B20" s="17">
        <v>2020</v>
      </c>
      <c r="C20" s="30"/>
      <c r="D20" s="31" t="str">
        <f t="shared" ref="C20:I20" si="7">IFERROR(E10/D10, "")</f>
        <v/>
      </c>
      <c r="E20" s="31" t="str">
        <f t="shared" si="7"/>
        <v/>
      </c>
      <c r="F20" s="31" t="str">
        <f t="shared" si="7"/>
        <v/>
      </c>
      <c r="G20" s="31" t="str">
        <f t="shared" si="7"/>
        <v/>
      </c>
      <c r="H20" s="31" t="str">
        <f t="shared" si="7"/>
        <v/>
      </c>
      <c r="I20" s="32" t="str">
        <f t="shared" si="7"/>
        <v/>
      </c>
      <c r="N20" s="3" t="s">
        <v>4</v>
      </c>
      <c r="O20" s="3">
        <v>60</v>
      </c>
      <c r="P20" s="3">
        <v>2014</v>
      </c>
      <c r="Q20" s="3">
        <v>4</v>
      </c>
    </row>
    <row r="21" spans="2:17" ht="15" thickBot="1" x14ac:dyDescent="0.4">
      <c r="N21" t="s">
        <v>4</v>
      </c>
      <c r="O21">
        <v>72</v>
      </c>
      <c r="P21">
        <v>2014</v>
      </c>
      <c r="Q21">
        <v>1</v>
      </c>
    </row>
    <row r="22" spans="2:17" x14ac:dyDescent="0.35">
      <c r="B22" s="13" t="s">
        <v>9</v>
      </c>
      <c r="C22" s="25">
        <f>AVERAGE(C17:C19)</f>
        <v>1.866539291432149</v>
      </c>
      <c r="D22" s="25">
        <f>AVERAGE(D16:D18)</f>
        <v>1.220318616629875</v>
      </c>
      <c r="E22" s="25">
        <f>AVERAGE(E15:E17)</f>
        <v>1.0116581950764276</v>
      </c>
      <c r="F22" s="25">
        <f>AVERAGE(F14:F16)</f>
        <v>1.0101592356338891</v>
      </c>
      <c r="G22" s="25">
        <f>AVERAGE(G14:G15)</f>
        <v>1.0021511163582069</v>
      </c>
      <c r="H22" s="25">
        <f>AVERAGE(H14:H14)</f>
        <v>1</v>
      </c>
      <c r="I22" s="23"/>
    </row>
    <row r="23" spans="2:17" ht="15" thickBot="1" x14ac:dyDescent="0.4">
      <c r="B23" s="42" t="s">
        <v>10</v>
      </c>
      <c r="C23" s="31">
        <f>SUM(D7:D9)/SUM(C7:C9)</f>
        <v>1.8653530377668308</v>
      </c>
      <c r="D23" s="31">
        <f>SUM(E6:E8)/SUM(D6:D8)</f>
        <v>1.2203090507726269</v>
      </c>
      <c r="E23" s="31">
        <f>SUM(F5:F7)/SUM(E5:E7)</f>
        <v>1.0116448326055314</v>
      </c>
      <c r="F23" s="31">
        <f>SUM(G4:G6)/SUM(F4:F6)</f>
        <v>1.010144927536232</v>
      </c>
      <c r="G23" s="31">
        <f>SUM(H4:H5)/SUM(G4:G5)</f>
        <v>1.0021516944593867</v>
      </c>
      <c r="H23" s="31">
        <f>SUM(H4:H4)/SUM(I4:I4)</f>
        <v>1</v>
      </c>
      <c r="I23" s="20"/>
    </row>
    <row r="24" spans="2:17" ht="15" thickBot="1" x14ac:dyDescent="0.4">
      <c r="B24" s="43"/>
      <c r="C24" s="43"/>
      <c r="D24" s="43"/>
      <c r="E24" s="43"/>
      <c r="F24" s="43"/>
      <c r="G24" s="43"/>
      <c r="H24" s="43"/>
      <c r="I24" s="43"/>
    </row>
    <row r="25" spans="2:17" x14ac:dyDescent="0.35">
      <c r="B25" s="13" t="s">
        <v>11</v>
      </c>
      <c r="C25" s="25">
        <f>C22</f>
        <v>1.866539291432149</v>
      </c>
      <c r="D25" s="25">
        <f t="shared" ref="D25:H25" si="8">D22</f>
        <v>1.220318616629875</v>
      </c>
      <c r="E25" s="25">
        <f t="shared" si="8"/>
        <v>1.0116581950764276</v>
      </c>
      <c r="F25" s="25">
        <f t="shared" si="8"/>
        <v>1.0101592356338891</v>
      </c>
      <c r="G25" s="25">
        <f t="shared" si="8"/>
        <v>1.0021511163582069</v>
      </c>
      <c r="H25" s="25">
        <f t="shared" si="8"/>
        <v>1</v>
      </c>
      <c r="I25" s="23"/>
    </row>
    <row r="26" spans="2:17" x14ac:dyDescent="0.35">
      <c r="B26" s="16"/>
      <c r="C26" s="36" t="s">
        <v>13</v>
      </c>
      <c r="D26" s="36" t="s">
        <v>14</v>
      </c>
      <c r="E26" s="36" t="s">
        <v>15</v>
      </c>
      <c r="F26" s="36" t="s">
        <v>16</v>
      </c>
      <c r="G26" s="36" t="s">
        <v>17</v>
      </c>
      <c r="H26" s="36" t="s">
        <v>18</v>
      </c>
      <c r="I26" s="44"/>
    </row>
    <row r="27" spans="2:17" ht="15" thickBot="1" x14ac:dyDescent="0.4">
      <c r="B27" s="42" t="s">
        <v>12</v>
      </c>
      <c r="C27" s="31">
        <f t="shared" ref="C27:F27" si="9">C25*D27</f>
        <v>2.3327448028809266</v>
      </c>
      <c r="D27" s="31">
        <f t="shared" si="9"/>
        <v>1.2497699960503215</v>
      </c>
      <c r="E27" s="31">
        <f t="shared" si="9"/>
        <v>1.0241341720261399</v>
      </c>
      <c r="F27" s="31">
        <f t="shared" si="9"/>
        <v>1.012332205690055</v>
      </c>
      <c r="G27" s="31">
        <f>G25*H27</f>
        <v>1.0021511163582069</v>
      </c>
      <c r="H27" s="31">
        <f>H25</f>
        <v>1</v>
      </c>
      <c r="I27" s="20"/>
    </row>
    <row r="28" spans="2:17" ht="15" thickBot="1" x14ac:dyDescent="0.4"/>
    <row r="29" spans="2:17" ht="15" thickBot="1" x14ac:dyDescent="0.4">
      <c r="B29" s="37" t="s">
        <v>5</v>
      </c>
      <c r="C29" s="37" t="s">
        <v>19</v>
      </c>
    </row>
    <row r="30" spans="2:17" x14ac:dyDescent="0.35">
      <c r="B30" s="38">
        <v>2014</v>
      </c>
      <c r="C30" s="39">
        <f>I4</f>
        <v>930</v>
      </c>
    </row>
    <row r="31" spans="2:17" x14ac:dyDescent="0.35">
      <c r="B31" s="38">
        <v>2015</v>
      </c>
      <c r="C31" s="39">
        <f>H5*H27</f>
        <v>933</v>
      </c>
    </row>
    <row r="32" spans="2:17" x14ac:dyDescent="0.35">
      <c r="B32" s="38">
        <v>2016</v>
      </c>
      <c r="C32" s="39">
        <f>G6*G27</f>
        <v>930.9983870967742</v>
      </c>
    </row>
    <row r="33" spans="2:3" x14ac:dyDescent="0.35">
      <c r="B33" s="38">
        <v>2017</v>
      </c>
      <c r="C33" s="39">
        <f>F7*F27</f>
        <v>951.5922733486517</v>
      </c>
    </row>
    <row r="34" spans="2:3" x14ac:dyDescent="0.35">
      <c r="B34" s="38">
        <v>2018</v>
      </c>
      <c r="C34" s="39">
        <f>E8*E27</f>
        <v>944.25170660810102</v>
      </c>
    </row>
    <row r="35" spans="2:3" x14ac:dyDescent="0.35">
      <c r="B35" s="38">
        <v>2019</v>
      </c>
      <c r="C35" s="39">
        <f>D9*D27</f>
        <v>952.32473699034495</v>
      </c>
    </row>
    <row r="36" spans="2:3" ht="15" thickBot="1" x14ac:dyDescent="0.4">
      <c r="B36" s="40">
        <v>2020</v>
      </c>
      <c r="C36" s="41">
        <f>C10*C27</f>
        <v>898.10674910915668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5C4F-EDB3-4CB8-AEEB-2951D5CAEAD2}">
  <dimension ref="B1:M39"/>
  <sheetViews>
    <sheetView tabSelected="1" topLeftCell="A29" workbookViewId="0">
      <selection activeCell="M27" sqref="M27"/>
    </sheetView>
  </sheetViews>
  <sheetFormatPr defaultRowHeight="14.5" x14ac:dyDescent="0.35"/>
  <cols>
    <col min="1" max="1" width="12.08984375" bestFit="1" customWidth="1"/>
    <col min="2" max="2" width="12.6328125" bestFit="1" customWidth="1"/>
    <col min="3" max="3" width="10.81640625" customWidth="1"/>
    <col min="5" max="5" width="11.6328125" customWidth="1"/>
    <col min="6" max="6" width="14.1796875" customWidth="1"/>
    <col min="7" max="7" width="10.81640625" customWidth="1"/>
    <col min="9" max="9" width="14.1796875" bestFit="1" customWidth="1"/>
    <col min="11" max="11" width="16" customWidth="1"/>
    <col min="16" max="16" width="12.08984375" bestFit="1" customWidth="1"/>
    <col min="17" max="17" width="15.1796875" bestFit="1" customWidth="1"/>
  </cols>
  <sheetData>
    <row r="1" spans="2:12" ht="15" thickBot="1" x14ac:dyDescent="0.4"/>
    <row r="2" spans="2:12" ht="15" thickBot="1" x14ac:dyDescent="0.4">
      <c r="B2" s="5"/>
      <c r="C2" s="6" t="s">
        <v>6</v>
      </c>
      <c r="D2" s="7"/>
      <c r="E2" s="7"/>
      <c r="F2" s="7"/>
      <c r="G2" s="7"/>
      <c r="H2" s="7"/>
      <c r="I2" s="8"/>
      <c r="K2" t="s">
        <v>29</v>
      </c>
    </row>
    <row r="3" spans="2:12" ht="15" thickBot="1" x14ac:dyDescent="0.4">
      <c r="B3" s="21" t="s">
        <v>5</v>
      </c>
      <c r="C3" s="11">
        <v>12</v>
      </c>
      <c r="D3" s="11">
        <v>24</v>
      </c>
      <c r="E3" s="11">
        <v>36</v>
      </c>
      <c r="F3" s="11">
        <v>48</v>
      </c>
      <c r="G3" s="11">
        <v>60</v>
      </c>
      <c r="H3" s="11">
        <v>72</v>
      </c>
      <c r="I3" s="12">
        <v>84</v>
      </c>
      <c r="K3" s="46" t="s">
        <v>20</v>
      </c>
      <c r="L3" t="s">
        <v>28</v>
      </c>
    </row>
    <row r="4" spans="2:12" x14ac:dyDescent="0.35">
      <c r="B4" s="13">
        <v>2014</v>
      </c>
      <c r="C4" s="14">
        <v>382</v>
      </c>
      <c r="D4" s="14">
        <v>730</v>
      </c>
      <c r="E4" s="14">
        <v>890</v>
      </c>
      <c r="F4" s="14">
        <v>920</v>
      </c>
      <c r="G4" s="14">
        <v>929</v>
      </c>
      <c r="H4" s="14">
        <v>930</v>
      </c>
      <c r="I4" s="15">
        <v>930</v>
      </c>
      <c r="K4" s="45">
        <v>1431</v>
      </c>
    </row>
    <row r="5" spans="2:12" x14ac:dyDescent="0.35">
      <c r="B5" s="16">
        <v>2015</v>
      </c>
      <c r="C5" s="14">
        <v>375</v>
      </c>
      <c r="D5" s="14">
        <v>745</v>
      </c>
      <c r="E5" s="14">
        <v>906</v>
      </c>
      <c r="F5" s="14">
        <v>916</v>
      </c>
      <c r="G5" s="14">
        <v>930</v>
      </c>
      <c r="H5" s="14">
        <v>933</v>
      </c>
      <c r="I5" s="15"/>
      <c r="K5" s="45">
        <v>1435</v>
      </c>
      <c r="L5" s="53">
        <f>K5/K4-1</f>
        <v>2.7952480782669209E-3</v>
      </c>
    </row>
    <row r="6" spans="2:12" x14ac:dyDescent="0.35">
      <c r="B6" s="16">
        <v>2016</v>
      </c>
      <c r="C6" s="14">
        <v>385</v>
      </c>
      <c r="D6" s="14">
        <v>755</v>
      </c>
      <c r="E6" s="14">
        <v>911</v>
      </c>
      <c r="F6" s="14">
        <v>924</v>
      </c>
      <c r="G6" s="14">
        <v>929</v>
      </c>
      <c r="H6" s="14"/>
      <c r="I6" s="15"/>
      <c r="K6" s="16">
        <v>1432</v>
      </c>
      <c r="L6" s="53">
        <f t="shared" ref="L6:L10" si="0">K6/K5-1</f>
        <v>-2.090592334494823E-3</v>
      </c>
    </row>
    <row r="7" spans="2:12" x14ac:dyDescent="0.35">
      <c r="B7" s="16">
        <v>2017</v>
      </c>
      <c r="C7" s="14">
        <v>399</v>
      </c>
      <c r="D7" s="14">
        <v>760</v>
      </c>
      <c r="E7" s="14">
        <v>931</v>
      </c>
      <c r="F7" s="14">
        <v>940</v>
      </c>
      <c r="G7" s="14"/>
      <c r="H7" s="14"/>
      <c r="I7" s="15"/>
      <c r="K7" s="16">
        <v>1464</v>
      </c>
      <c r="L7" s="53">
        <f t="shared" si="0"/>
        <v>2.2346368715083775E-2</v>
      </c>
    </row>
    <row r="8" spans="2:12" x14ac:dyDescent="0.35">
      <c r="B8" s="16">
        <v>2018</v>
      </c>
      <c r="C8" s="14">
        <v>397</v>
      </c>
      <c r="D8" s="14">
        <v>750</v>
      </c>
      <c r="E8" s="14">
        <v>922</v>
      </c>
      <c r="F8" s="14"/>
      <c r="G8" s="14"/>
      <c r="H8" s="14"/>
      <c r="I8" s="15"/>
      <c r="K8" s="16">
        <v>1453</v>
      </c>
      <c r="L8" s="53">
        <f t="shared" si="0"/>
        <v>-7.5136612021857729E-3</v>
      </c>
    </row>
    <row r="9" spans="2:12" x14ac:dyDescent="0.35">
      <c r="B9" s="16">
        <v>2019</v>
      </c>
      <c r="C9" s="14">
        <v>422</v>
      </c>
      <c r="D9" s="14">
        <v>801</v>
      </c>
      <c r="E9" s="14"/>
      <c r="F9" s="14"/>
      <c r="G9" s="14"/>
      <c r="H9" s="14"/>
      <c r="I9" s="15"/>
      <c r="K9" s="16">
        <v>1820</v>
      </c>
      <c r="L9" s="53">
        <f t="shared" si="0"/>
        <v>0.25258086717136963</v>
      </c>
    </row>
    <row r="10" spans="2:12" ht="15" thickBot="1" x14ac:dyDescent="0.4">
      <c r="B10" s="17">
        <v>2020</v>
      </c>
      <c r="C10" s="18">
        <v>432</v>
      </c>
      <c r="D10" s="19"/>
      <c r="E10" s="19"/>
      <c r="F10" s="19"/>
      <c r="G10" s="19"/>
      <c r="H10" s="19"/>
      <c r="I10" s="20"/>
      <c r="K10" s="42">
        <v>1863</v>
      </c>
      <c r="L10" s="53">
        <f t="shared" si="0"/>
        <v>2.3626373626373542E-2</v>
      </c>
    </row>
    <row r="11" spans="2:12" ht="15" thickBot="1" x14ac:dyDescent="0.4"/>
    <row r="12" spans="2:12" ht="15" thickBot="1" x14ac:dyDescent="0.4">
      <c r="B12" s="10"/>
      <c r="C12" s="59" t="s">
        <v>7</v>
      </c>
      <c r="D12" s="60"/>
      <c r="E12" s="60"/>
      <c r="F12" s="60"/>
      <c r="G12" s="60"/>
      <c r="H12" s="60"/>
      <c r="I12" s="61"/>
    </row>
    <row r="13" spans="2:12" ht="15" thickBot="1" x14ac:dyDescent="0.4">
      <c r="B13" s="21" t="s">
        <v>5</v>
      </c>
      <c r="C13" s="11">
        <v>12</v>
      </c>
      <c r="D13" s="11">
        <v>24</v>
      </c>
      <c r="E13" s="11">
        <v>36</v>
      </c>
      <c r="F13" s="11">
        <v>48</v>
      </c>
      <c r="G13" s="11">
        <v>60</v>
      </c>
      <c r="H13" s="11">
        <v>72</v>
      </c>
      <c r="I13" s="12" t="s">
        <v>8</v>
      </c>
      <c r="K13" s="21" t="s">
        <v>30</v>
      </c>
    </row>
    <row r="14" spans="2:12" ht="15" thickBot="1" x14ac:dyDescent="0.4">
      <c r="B14" s="13">
        <v>2014</v>
      </c>
      <c r="C14" s="24">
        <f>IFERROR(D4/C4, "")</f>
        <v>1.9109947643979057</v>
      </c>
      <c r="D14" s="25">
        <f t="shared" ref="D14:I14" si="1">IFERROR(E4/D4, "")</f>
        <v>1.2191780821917808</v>
      </c>
      <c r="E14" s="25">
        <f t="shared" si="1"/>
        <v>1.0337078651685394</v>
      </c>
      <c r="F14" s="25">
        <f t="shared" si="1"/>
        <v>1.0097826086956523</v>
      </c>
      <c r="G14" s="25">
        <f t="shared" si="1"/>
        <v>1.0010764262648009</v>
      </c>
      <c r="H14" s="25">
        <f t="shared" si="1"/>
        <v>1</v>
      </c>
      <c r="I14" s="26"/>
      <c r="K14" s="62">
        <v>0.01</v>
      </c>
    </row>
    <row r="15" spans="2:12" ht="15" thickBot="1" x14ac:dyDescent="0.4">
      <c r="B15" s="16">
        <v>2015</v>
      </c>
      <c r="C15" s="27">
        <f t="shared" ref="C15:I19" si="2">IFERROR(D5/C5, "")</f>
        <v>1.9866666666666666</v>
      </c>
      <c r="D15" s="28">
        <f t="shared" si="2"/>
        <v>1.2161073825503357</v>
      </c>
      <c r="E15" s="28">
        <f t="shared" si="2"/>
        <v>1.011037527593819</v>
      </c>
      <c r="F15" s="28">
        <f t="shared" si="2"/>
        <v>1.0152838427947599</v>
      </c>
      <c r="G15" s="28">
        <f t="shared" si="2"/>
        <v>1.0032258064516129</v>
      </c>
      <c r="H15" s="28"/>
      <c r="I15" s="29" t="str">
        <f t="shared" si="2"/>
        <v/>
      </c>
    </row>
    <row r="16" spans="2:12" ht="15" thickBot="1" x14ac:dyDescent="0.4">
      <c r="B16" s="16">
        <v>2016</v>
      </c>
      <c r="C16" s="27">
        <f t="shared" si="2"/>
        <v>1.9610389610389611</v>
      </c>
      <c r="D16" s="28">
        <f t="shared" si="2"/>
        <v>1.2066225165562914</v>
      </c>
      <c r="E16" s="28">
        <f t="shared" si="2"/>
        <v>1.0142700329308452</v>
      </c>
      <c r="F16" s="28">
        <f t="shared" si="2"/>
        <v>1.0054112554112553</v>
      </c>
      <c r="G16" s="28"/>
      <c r="H16" s="28" t="str">
        <f t="shared" si="2"/>
        <v/>
      </c>
      <c r="I16" s="29" t="str">
        <f t="shared" si="2"/>
        <v/>
      </c>
      <c r="K16" s="21" t="s">
        <v>31</v>
      </c>
    </row>
    <row r="17" spans="2:11" ht="15" thickBot="1" x14ac:dyDescent="0.4">
      <c r="B17" s="16">
        <v>2017</v>
      </c>
      <c r="C17" s="27">
        <f t="shared" si="2"/>
        <v>1.9047619047619047</v>
      </c>
      <c r="D17" s="28">
        <f t="shared" si="2"/>
        <v>1.2250000000000001</v>
      </c>
      <c r="E17" s="28">
        <f t="shared" si="2"/>
        <v>1.0096670247046187</v>
      </c>
      <c r="F17" s="28"/>
      <c r="G17" s="28" t="str">
        <f t="shared" si="2"/>
        <v/>
      </c>
      <c r="H17" s="28" t="str">
        <f t="shared" si="2"/>
        <v/>
      </c>
      <c r="I17" s="29" t="str">
        <f t="shared" si="2"/>
        <v/>
      </c>
      <c r="K17" s="62">
        <v>2.5000000000000001E-2</v>
      </c>
    </row>
    <row r="18" spans="2:11" x14ac:dyDescent="0.35">
      <c r="B18" s="16">
        <v>2018</v>
      </c>
      <c r="C18" s="27">
        <f t="shared" si="2"/>
        <v>1.8891687657430731</v>
      </c>
      <c r="D18" s="28">
        <f t="shared" si="2"/>
        <v>1.2293333333333334</v>
      </c>
      <c r="E18" s="28"/>
      <c r="F18" s="28" t="str">
        <f t="shared" si="2"/>
        <v/>
      </c>
      <c r="G18" s="28" t="str">
        <f t="shared" si="2"/>
        <v/>
      </c>
      <c r="H18" s="28" t="str">
        <f t="shared" si="2"/>
        <v/>
      </c>
      <c r="I18" s="29" t="str">
        <f t="shared" si="2"/>
        <v/>
      </c>
    </row>
    <row r="19" spans="2:11" x14ac:dyDescent="0.35">
      <c r="B19" s="16">
        <v>2019</v>
      </c>
      <c r="C19" s="27">
        <f t="shared" si="2"/>
        <v>1.8981042654028435</v>
      </c>
      <c r="D19" s="28"/>
      <c r="E19" s="28" t="str">
        <f t="shared" si="2"/>
        <v/>
      </c>
      <c r="F19" s="28" t="str">
        <f t="shared" si="2"/>
        <v/>
      </c>
      <c r="G19" s="28" t="str">
        <f t="shared" si="2"/>
        <v/>
      </c>
      <c r="H19" s="28" t="str">
        <f t="shared" si="2"/>
        <v/>
      </c>
      <c r="I19" s="29" t="str">
        <f t="shared" si="2"/>
        <v/>
      </c>
    </row>
    <row r="20" spans="2:11" ht="15" thickBot="1" x14ac:dyDescent="0.4">
      <c r="B20" s="17">
        <v>2020</v>
      </c>
      <c r="C20" s="30"/>
      <c r="D20" s="31" t="str">
        <f t="shared" ref="D20:J20" si="3">IFERROR(E10/D10, "")</f>
        <v/>
      </c>
      <c r="E20" s="31" t="str">
        <f t="shared" si="3"/>
        <v/>
      </c>
      <c r="F20" s="31" t="str">
        <f t="shared" si="3"/>
        <v/>
      </c>
      <c r="G20" s="31" t="str">
        <f t="shared" si="3"/>
        <v/>
      </c>
      <c r="H20" s="31" t="str">
        <f t="shared" si="3"/>
        <v/>
      </c>
      <c r="I20" s="32" t="str">
        <f t="shared" si="3"/>
        <v/>
      </c>
    </row>
    <row r="21" spans="2:11" ht="15" thickBot="1" x14ac:dyDescent="0.4"/>
    <row r="22" spans="2:11" x14ac:dyDescent="0.35">
      <c r="B22" s="13" t="s">
        <v>9</v>
      </c>
      <c r="C22" s="25">
        <f>AVERAGE(C17:C19)</f>
        <v>1.8973449786359404</v>
      </c>
      <c r="D22" s="25">
        <f>AVERAGE(D16:D18)</f>
        <v>1.220318616629875</v>
      </c>
      <c r="E22" s="25">
        <f>AVERAGE(E15:E17)</f>
        <v>1.0116581950764276</v>
      </c>
      <c r="F22" s="25">
        <f>AVERAGE(F14:F16)</f>
        <v>1.0101592356338891</v>
      </c>
      <c r="G22" s="25">
        <f>AVERAGE(G14:G15)</f>
        <v>1.0021511163582069</v>
      </c>
      <c r="H22" s="25">
        <f>AVERAGE(H14:H14)</f>
        <v>1</v>
      </c>
      <c r="I22" s="23"/>
    </row>
    <row r="23" spans="2:11" ht="15" thickBot="1" x14ac:dyDescent="0.4">
      <c r="B23" s="42" t="s">
        <v>10</v>
      </c>
      <c r="C23" s="31">
        <f>SUM(D7:D9)/SUM(C7:C9)</f>
        <v>1.8973727422003284</v>
      </c>
      <c r="D23" s="31">
        <f>SUM(E6:E8)/SUM(D6:D8)</f>
        <v>1.2203090507726269</v>
      </c>
      <c r="E23" s="31">
        <f>SUM(F5:F7)/SUM(E5:E7)</f>
        <v>1.0116448326055314</v>
      </c>
      <c r="F23" s="31">
        <f>SUM(G4:G6)/SUM(F4:F6)</f>
        <v>1.010144927536232</v>
      </c>
      <c r="G23" s="31">
        <f>SUM(H4:H5)/SUM(G4:G5)</f>
        <v>1.0021516944593867</v>
      </c>
      <c r="H23" s="31">
        <f>SUM(H4:H4)/SUM(I4:I4)</f>
        <v>1</v>
      </c>
      <c r="I23" s="20"/>
    </row>
    <row r="24" spans="2:11" ht="15" thickBot="1" x14ac:dyDescent="0.4">
      <c r="B24" s="43"/>
      <c r="C24" s="43"/>
      <c r="D24" s="43"/>
      <c r="E24" s="43"/>
      <c r="F24" s="43"/>
      <c r="G24" s="43"/>
      <c r="H24" s="43"/>
      <c r="I24" s="43"/>
    </row>
    <row r="25" spans="2:11" x14ac:dyDescent="0.35">
      <c r="B25" s="13" t="s">
        <v>11</v>
      </c>
      <c r="C25" s="25">
        <f>C22</f>
        <v>1.8973449786359404</v>
      </c>
      <c r="D25" s="25">
        <f t="shared" ref="D25:H25" si="4">D22</f>
        <v>1.220318616629875</v>
      </c>
      <c r="E25" s="25">
        <f t="shared" si="4"/>
        <v>1.0116581950764276</v>
      </c>
      <c r="F25" s="25">
        <f t="shared" si="4"/>
        <v>1.0101592356338891</v>
      </c>
      <c r="G25" s="25">
        <f t="shared" si="4"/>
        <v>1.0021511163582069</v>
      </c>
      <c r="H25" s="25">
        <f t="shared" si="4"/>
        <v>1</v>
      </c>
      <c r="I25" s="23"/>
    </row>
    <row r="26" spans="2:11" x14ac:dyDescent="0.35">
      <c r="B26" s="16"/>
      <c r="C26" s="36" t="s">
        <v>13</v>
      </c>
      <c r="D26" s="36" t="s">
        <v>14</v>
      </c>
      <c r="E26" s="36" t="s">
        <v>15</v>
      </c>
      <c r="F26" s="36" t="s">
        <v>16</v>
      </c>
      <c r="G26" s="36" t="s">
        <v>17</v>
      </c>
      <c r="H26" s="36" t="s">
        <v>18</v>
      </c>
      <c r="I26" s="44"/>
    </row>
    <row r="27" spans="2:11" ht="15" thickBot="1" x14ac:dyDescent="0.4">
      <c r="B27" s="42" t="s">
        <v>12</v>
      </c>
      <c r="C27" s="31">
        <f t="shared" ref="C27:F27" si="5">C25*D27</f>
        <v>2.3712448264559365</v>
      </c>
      <c r="D27" s="31">
        <f t="shared" si="5"/>
        <v>1.2497699960503215</v>
      </c>
      <c r="E27" s="31">
        <f t="shared" si="5"/>
        <v>1.0241341720261399</v>
      </c>
      <c r="F27" s="31">
        <f t="shared" si="5"/>
        <v>1.012332205690055</v>
      </c>
      <c r="G27" s="31">
        <f>G25*H27</f>
        <v>1.0021511163582069</v>
      </c>
      <c r="H27" s="31">
        <f>H25</f>
        <v>1</v>
      </c>
      <c r="I27" s="20"/>
    </row>
    <row r="28" spans="2:11" ht="15" thickBot="1" x14ac:dyDescent="0.4"/>
    <row r="29" spans="2:11" ht="15" thickBot="1" x14ac:dyDescent="0.4">
      <c r="B29" s="22"/>
      <c r="C29" s="55" t="s">
        <v>21</v>
      </c>
      <c r="D29" s="55"/>
      <c r="E29" s="55" t="s">
        <v>23</v>
      </c>
      <c r="F29" s="55" t="s">
        <v>25</v>
      </c>
      <c r="G29" s="56" t="s">
        <v>27</v>
      </c>
    </row>
    <row r="30" spans="2:11" ht="15" thickBot="1" x14ac:dyDescent="0.4">
      <c r="B30" s="47" t="s">
        <v>5</v>
      </c>
      <c r="C30" s="57" t="s">
        <v>22</v>
      </c>
      <c r="D30" s="18" t="s">
        <v>12</v>
      </c>
      <c r="E30" s="18" t="s">
        <v>24</v>
      </c>
      <c r="F30" s="69" t="s">
        <v>26</v>
      </c>
      <c r="G30" s="58" t="s">
        <v>24</v>
      </c>
      <c r="I30" s="66" t="s">
        <v>34</v>
      </c>
      <c r="J30" s="7"/>
      <c r="K30" s="34"/>
    </row>
    <row r="31" spans="2:11" x14ac:dyDescent="0.35">
      <c r="B31" s="38">
        <v>2014</v>
      </c>
      <c r="C31" s="48">
        <f>I4</f>
        <v>930</v>
      </c>
      <c r="D31" s="33">
        <v>1</v>
      </c>
      <c r="E31" s="52">
        <f>PRODUCT(C31:D31)</f>
        <v>930</v>
      </c>
      <c r="F31" s="54">
        <f>E31/K4*((1+$K$14)/(1+$K$17))^($B$37-B31)</f>
        <v>0.59487862619564214</v>
      </c>
      <c r="G31" s="34"/>
      <c r="I31" s="67" t="s">
        <v>32</v>
      </c>
      <c r="J31" s="7"/>
      <c r="K31" s="65">
        <v>0.62</v>
      </c>
    </row>
    <row r="32" spans="2:11" ht="15" thickBot="1" x14ac:dyDescent="0.4">
      <c r="B32" s="38">
        <v>2015</v>
      </c>
      <c r="C32" s="49">
        <f>H5</f>
        <v>933</v>
      </c>
      <c r="D32" s="51">
        <f>H27</f>
        <v>1</v>
      </c>
      <c r="E32" s="52">
        <f t="shared" ref="E32:E37" si="6">PRODUCT(C32:D32)</f>
        <v>933</v>
      </c>
      <c r="F32" s="70">
        <f t="shared" ref="F32:F37" si="7">E32/K5*((1+$K$14)/(1+$K$17))^($B$37-B32)</f>
        <v>0.60397266660750737</v>
      </c>
      <c r="G32" s="9"/>
      <c r="I32" s="68" t="s">
        <v>33</v>
      </c>
      <c r="J32" s="63"/>
      <c r="K32" s="64">
        <f>K31*(1+K17)/(1+K14)</f>
        <v>0.62920792079207921</v>
      </c>
    </row>
    <row r="33" spans="2:13" x14ac:dyDescent="0.35">
      <c r="B33" s="38">
        <v>2016</v>
      </c>
      <c r="C33" s="49">
        <f>G6</f>
        <v>929</v>
      </c>
      <c r="D33" s="51">
        <f>G27</f>
        <v>1.0021511163582069</v>
      </c>
      <c r="E33" s="52">
        <f t="shared" si="6"/>
        <v>930.9983870967742</v>
      </c>
      <c r="F33" s="70">
        <f t="shared" si="7"/>
        <v>0.61290892318712986</v>
      </c>
      <c r="G33" s="9"/>
    </row>
    <row r="34" spans="2:13" x14ac:dyDescent="0.35">
      <c r="B34" s="38">
        <v>2017</v>
      </c>
      <c r="C34" s="49">
        <f>F7</f>
        <v>940</v>
      </c>
      <c r="D34" s="51">
        <f>F27</f>
        <v>1.012332205690055</v>
      </c>
      <c r="E34" s="52">
        <f t="shared" si="6"/>
        <v>951.5922733486517</v>
      </c>
      <c r="F34" s="70">
        <f t="shared" si="7"/>
        <v>0.62187393665077029</v>
      </c>
      <c r="G34" s="9"/>
    </row>
    <row r="35" spans="2:13" x14ac:dyDescent="0.35">
      <c r="B35" s="38">
        <v>2018</v>
      </c>
      <c r="C35" s="49">
        <f>E8</f>
        <v>922</v>
      </c>
      <c r="D35" s="51">
        <f>E27</f>
        <v>1.0241341720261399</v>
      </c>
      <c r="E35" s="52">
        <f t="shared" si="6"/>
        <v>944.25170660810102</v>
      </c>
      <c r="F35" s="70">
        <f t="shared" si="7"/>
        <v>0.63098230597077598</v>
      </c>
      <c r="G35" s="9"/>
    </row>
    <row r="36" spans="2:13" x14ac:dyDescent="0.35">
      <c r="B36" s="38">
        <v>2019</v>
      </c>
      <c r="C36" s="49">
        <f>D9</f>
        <v>801</v>
      </c>
      <c r="D36" s="51">
        <f>D27</f>
        <v>1.2497699960503215</v>
      </c>
      <c r="E36" s="73">
        <f t="shared" si="6"/>
        <v>1001.0657668363075</v>
      </c>
      <c r="F36" s="71"/>
      <c r="G36" s="75">
        <f>K9*K32</f>
        <v>1145.1584158415842</v>
      </c>
      <c r="I36" s="77"/>
      <c r="J36" s="77"/>
      <c r="K36" s="77"/>
      <c r="L36" s="77"/>
      <c r="M36" s="77"/>
    </row>
    <row r="37" spans="2:13" ht="15" thickBot="1" x14ac:dyDescent="0.4">
      <c r="B37" s="40">
        <v>2020</v>
      </c>
      <c r="C37" s="50">
        <f>C10</f>
        <v>432</v>
      </c>
      <c r="D37" s="35">
        <f>C27</f>
        <v>2.3712448264559365</v>
      </c>
      <c r="E37" s="74">
        <f t="shared" si="6"/>
        <v>1024.3777650289646</v>
      </c>
      <c r="F37" s="72"/>
      <c r="G37" s="76">
        <f>K10*K31</f>
        <v>1155.06</v>
      </c>
      <c r="I37" s="77"/>
      <c r="J37" s="77"/>
      <c r="K37" s="77"/>
      <c r="L37" s="77"/>
      <c r="M37" s="77"/>
    </row>
    <row r="39" spans="2:13" x14ac:dyDescent="0.35">
      <c r="B39" s="78" t="s">
        <v>35</v>
      </c>
      <c r="C39" s="79"/>
      <c r="D39" s="79"/>
      <c r="E39" s="79"/>
      <c r="F39" s="79"/>
      <c r="G39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Development Technique</vt:lpstr>
      <vt:lpstr>Expected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병석 권</dc:creator>
  <cp:lastModifiedBy>병석 권</cp:lastModifiedBy>
  <dcterms:created xsi:type="dcterms:W3CDTF">2025-11-30T20:59:58Z</dcterms:created>
  <dcterms:modified xsi:type="dcterms:W3CDTF">2025-11-30T22:58:44Z</dcterms:modified>
</cp:coreProperties>
</file>